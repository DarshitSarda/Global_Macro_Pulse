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s8286\Desktop\data\"/>
    </mc:Choice>
  </mc:AlternateContent>
  <xr:revisionPtr revIDLastSave="0" documentId="8_{BED879D4-5C7E-4D65-9916-B4146D55EAD6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Worksheet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7" i="2" l="1" a="1"/>
  <c r="A7" i="2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<sst xmlns="http://schemas.openxmlformats.org/spreadsheetml/2006/main" count="9" uniqueCount="9">
  <si>
    <t>Security</t>
  </si>
  <si>
    <t>MPMIINMA Index</t>
  </si>
  <si>
    <t>Start Date</t>
  </si>
  <si>
    <t>End Date</t>
  </si>
  <si>
    <t>Period</t>
  </si>
  <si>
    <t>M</t>
  </si>
  <si>
    <t>Date</t>
  </si>
  <si>
    <t>PX_LAST</t>
  </si>
  <si>
    <t>IVOL_MID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</si>
</sst>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18" fillId="12" borderId="0" applyNumberFormat="0" applyBorder="0" applyAlignment="0" applyProtection="0"/>
    <xf numFmtId="0" fontId="18" fillId="16" borderId="0" applyNumberFormat="0" applyBorder="0" applyAlignment="0" applyProtection="0"/>
    <xf numFmtId="0" fontId="18" fillId="20" borderId="0" applyNumberFormat="0" applyBorder="0" applyAlignment="0" applyProtection="0"/>
    <xf numFmtId="0" fontId="18" fillId="24" borderId="0" applyNumberFormat="0" applyBorder="0" applyAlignment="0" applyProtection="0"/>
    <xf numFmtId="0" fontId="18" fillId="28" borderId="0" applyNumberFormat="0" applyBorder="0" applyAlignment="0" applyProtection="0"/>
    <xf numFmtId="0" fontId="18" fillId="32" borderId="0" applyNumberFormat="0" applyBorder="0" applyAlignment="0" applyProtection="0"/>
    <xf numFmtId="0" fontId="18" fillId="9" borderId="0" applyNumberFormat="0" applyBorder="0" applyAlignment="0" applyProtection="0"/>
    <xf numFmtId="0" fontId="18" fillId="13" borderId="0" applyNumberFormat="0" applyBorder="0" applyAlignment="0" applyProtection="0"/>
    <xf numFmtId="0" fontId="18" fillId="17" borderId="0" applyNumberFormat="0" applyBorder="0" applyAlignment="0" applyProtection="0"/>
    <xf numFmtId="0" fontId="18" fillId="21" borderId="0" applyNumberFormat="0" applyBorder="0" applyAlignment="0" applyProtection="0"/>
    <xf numFmtId="0" fontId="18" fillId="25" borderId="0" applyNumberFormat="0" applyBorder="0" applyAlignment="0" applyProtection="0"/>
    <xf numFmtId="0" fontId="18" fillId="29" borderId="0" applyNumberFormat="0" applyBorder="0" applyAlignment="0" applyProtection="0"/>
    <xf numFmtId="0" fontId="8" fillId="3" borderId="0" applyNumberFormat="0" applyBorder="0" applyAlignment="0" applyProtection="0"/>
    <xf numFmtId="0" fontId="12" fillId="6" borderId="4" applyNumberFormat="0" applyAlignment="0" applyProtection="0"/>
    <xf numFmtId="0" fontId="14" fillId="7" borderId="7" applyNumberFormat="0" applyAlignment="0" applyProtection="0"/>
    <xf numFmtId="0" fontId="1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10" fillId="5" borderId="4" applyNumberFormat="0" applyAlignment="0" applyProtection="0"/>
    <xf numFmtId="0" fontId="13" fillId="0" borderId="6" applyNumberFormat="0" applyFill="0" applyAlignment="0" applyProtection="0"/>
    <xf numFmtId="0" fontId="9" fillId="4" borderId="0" applyNumberFormat="0" applyBorder="0" applyAlignment="0" applyProtection="0"/>
    <xf numFmtId="0" fontId="2" fillId="8" borderId="8" applyNumberFormat="0" applyFont="0" applyAlignment="0" applyProtection="0"/>
    <xf numFmtId="0" fontId="11" fillId="6" borderId="5" applyNumberFormat="0" applyAlignment="0" applyProtection="0"/>
    <xf numFmtId="0" fontId="3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5" fillId="0" borderId="0" applyNumberFormat="0" applyFill="0" applyBorder="0" applyAlignment="0" applyProtection="0"/>
    <xf numFmtId="22" fontId="1" fillId="0" borderId="0"/>
  </cellStyleXfs>
  <cellXfs count="3">
    <xf numFmtId="0" fontId="0" fillId="0" borderId="0" xfId="0"/>
    <xf numFmtId="14" fontId="0" fillId="0" borderId="0" xfId="0" applyNumberFormat="1"/>
    <xf numFmtId="22" fontId="1" fillId="0" borderId="0" xfId="42" applyNumberFormat="1" applyFont="1" applyFill="1" applyBorder="1" applyAlignment="1" applyProtection="1"/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datetime" xfId="42" xr:uid="{00000000-0005-0000-0000-000019000000}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bofaddin.rtdserver">
      <tp t="s">
        <v>#N/A N/A</v>
        <stp/>
        <stp>BDH|13519894348755404418</stp>
        <tr r="A7" s="2"/>
      </tp>
    </main>
  </volType>
</volTypes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volatileDependencies" Target="volatileDependenci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2"/>
  <sheetViews>
    <sheetView tabSelected="1" workbookViewId="0">
      <selection activeCell="B4" sqref="B4"/>
    </sheetView>
  </sheetViews>
  <sheetFormatPr defaultRowHeight="15" x14ac:dyDescent="0.25"/>
  <cols>
    <col min="1" max="1" width="10.7109375" bestFit="1" customWidth="1"/>
    <col min="2" max="2" width="16.7109375" bestFit="1" customWidth="1"/>
    <col min="3" max="3" width="9.7109375" bestFit="1" customWidth="1"/>
  </cols>
  <sheetData>
    <row r="1" spans="1:3" x14ac:dyDescent="0.25">
      <c r="A1" t="s">
        <v>0</v>
      </c>
      <c r="B1" t="s">
        <v>1</v>
      </c>
    </row>
    <row r="2" spans="1:3" x14ac:dyDescent="0.25">
      <c r="A2" t="s">
        <v>2</v>
      </c>
      <c r="B2" s="2">
        <v>45016</v>
      </c>
    </row>
    <row r="3" spans="1:3" x14ac:dyDescent="0.25">
      <c r="A3" t="s">
        <v>3</v>
      </c>
      <c r="B3" s="2">
        <v>46081</v>
      </c>
    </row>
    <row r="4" spans="1:3" x14ac:dyDescent="0.25">
      <c r="A4" t="s">
        <v>4</v>
      </c>
      <c r="B4" t="s">
        <v>5</v>
      </c>
    </row>
    <row r="6" spans="1:3" x14ac:dyDescent="0.25">
      <c r="A6" t="s">
        <v>6</v>
      </c>
      <c r="B6" t="s">
        <v>7</v>
      </c>
      <c r="C6" t="s">
        <v>8</v>
      </c>
    </row>
    <row r="7" spans="1:3" x14ac:dyDescent="0.25">
      <c r="A7" s="1" cm="1">
        <f t="array" ref="A7:C42">_xll.BDH(B1,B6:C6,B2,B3,"Dir=V","Dts=S","Sort=D","Quote=C","QtTyp=P","Days=T",CONCATENATE("Per=c",B4),"DtFmt=D","UseDPDF=Y")</f>
        <v>46081</v>
      </c>
      <c r="B7">
        <v>56.9</v>
      </c>
      <c r="C7" t="str">
        <v>#N/A N/A</v>
      </c>
    </row>
    <row r="8" spans="1:3" x14ac:dyDescent="0.25">
      <c r="A8" s="1">
        <v>46053</v>
      </c>
      <c r="B8">
        <v>55.4</v>
      </c>
      <c r="C8" t="str">
        <v>#N/A N/A</v>
      </c>
    </row>
    <row r="9" spans="1:3" x14ac:dyDescent="0.25">
      <c r="A9" s="1">
        <v>46022</v>
      </c>
      <c r="B9">
        <v>55</v>
      </c>
      <c r="C9" t="str">
        <v>#N/A N/A</v>
      </c>
    </row>
    <row r="10" spans="1:3" x14ac:dyDescent="0.25">
      <c r="A10" s="1">
        <v>45991</v>
      </c>
      <c r="B10">
        <v>56.6</v>
      </c>
      <c r="C10" t="str">
        <v>#N/A N/A</v>
      </c>
    </row>
    <row r="11" spans="1:3" x14ac:dyDescent="0.25">
      <c r="A11" s="1">
        <v>45961</v>
      </c>
      <c r="B11">
        <v>59.2</v>
      </c>
      <c r="C11" t="str">
        <v>#N/A N/A</v>
      </c>
    </row>
    <row r="12" spans="1:3" x14ac:dyDescent="0.25">
      <c r="A12" s="1">
        <v>45930</v>
      </c>
      <c r="B12">
        <v>57.7</v>
      </c>
      <c r="C12" t="str">
        <v>#N/A N/A</v>
      </c>
    </row>
    <row r="13" spans="1:3" x14ac:dyDescent="0.25">
      <c r="A13" s="1">
        <v>45900</v>
      </c>
      <c r="B13">
        <v>59.3</v>
      </c>
      <c r="C13" t="str">
        <v>#N/A N/A</v>
      </c>
    </row>
    <row r="14" spans="1:3" x14ac:dyDescent="0.25">
      <c r="A14" s="1">
        <v>45869</v>
      </c>
      <c r="B14">
        <v>59.1</v>
      </c>
      <c r="C14" t="str">
        <v>#N/A N/A</v>
      </c>
    </row>
    <row r="15" spans="1:3" x14ac:dyDescent="0.25">
      <c r="A15" s="1">
        <v>45838</v>
      </c>
      <c r="B15">
        <v>58.4</v>
      </c>
      <c r="C15" t="str">
        <v>#N/A N/A</v>
      </c>
    </row>
    <row r="16" spans="1:3" x14ac:dyDescent="0.25">
      <c r="A16" s="1">
        <v>45808</v>
      </c>
      <c r="B16">
        <v>57.6</v>
      </c>
      <c r="C16" t="str">
        <v>#N/A N/A</v>
      </c>
    </row>
    <row r="17" spans="1:3" x14ac:dyDescent="0.25">
      <c r="A17" s="1">
        <v>45777</v>
      </c>
      <c r="B17">
        <v>58.2</v>
      </c>
      <c r="C17" t="str">
        <v>#N/A N/A</v>
      </c>
    </row>
    <row r="18" spans="1:3" x14ac:dyDescent="0.25">
      <c r="A18" s="1">
        <v>45747</v>
      </c>
      <c r="B18">
        <v>58.1</v>
      </c>
      <c r="C18" t="str">
        <v>#N/A N/A</v>
      </c>
    </row>
    <row r="19" spans="1:3" x14ac:dyDescent="0.25">
      <c r="A19" s="1">
        <v>45716</v>
      </c>
      <c r="B19">
        <v>56.3</v>
      </c>
      <c r="C19" t="str">
        <v>#N/A N/A</v>
      </c>
    </row>
    <row r="20" spans="1:3" x14ac:dyDescent="0.25">
      <c r="A20" s="1">
        <v>45688</v>
      </c>
      <c r="B20">
        <v>57.7</v>
      </c>
      <c r="C20" t="str">
        <v>#N/A N/A</v>
      </c>
    </row>
    <row r="21" spans="1:3" x14ac:dyDescent="0.25">
      <c r="A21" s="1">
        <v>45657</v>
      </c>
      <c r="B21">
        <v>56.4</v>
      </c>
      <c r="C21" t="str">
        <v>#N/A N/A</v>
      </c>
    </row>
    <row r="22" spans="1:3" x14ac:dyDescent="0.25">
      <c r="A22" s="1">
        <v>45626</v>
      </c>
      <c r="B22">
        <v>56.5</v>
      </c>
      <c r="C22" t="str">
        <v>#N/A N/A</v>
      </c>
    </row>
    <row r="23" spans="1:3" x14ac:dyDescent="0.25">
      <c r="A23" s="1">
        <v>45596</v>
      </c>
      <c r="B23">
        <v>57.5</v>
      </c>
      <c r="C23" t="str">
        <v>#N/A N/A</v>
      </c>
    </row>
    <row r="24" spans="1:3" x14ac:dyDescent="0.25">
      <c r="A24" s="1">
        <v>45565</v>
      </c>
      <c r="B24">
        <v>56.5</v>
      </c>
      <c r="C24" t="str">
        <v>#N/A N/A</v>
      </c>
    </row>
    <row r="25" spans="1:3" x14ac:dyDescent="0.25">
      <c r="A25" s="1">
        <v>45535</v>
      </c>
      <c r="B25">
        <v>57.5</v>
      </c>
      <c r="C25" t="str">
        <v>#N/A N/A</v>
      </c>
    </row>
    <row r="26" spans="1:3" x14ac:dyDescent="0.25">
      <c r="A26" s="1">
        <v>45504</v>
      </c>
      <c r="B26">
        <v>58.1</v>
      </c>
      <c r="C26" t="str">
        <v>#N/A N/A</v>
      </c>
    </row>
    <row r="27" spans="1:3" x14ac:dyDescent="0.25">
      <c r="A27" s="1">
        <v>45473</v>
      </c>
      <c r="B27">
        <v>58.4</v>
      </c>
      <c r="C27" t="str">
        <v>#N/A N/A</v>
      </c>
    </row>
    <row r="28" spans="1:3" x14ac:dyDescent="0.25">
      <c r="A28" s="1">
        <v>45443</v>
      </c>
      <c r="B28">
        <v>57.5</v>
      </c>
      <c r="C28" t="str">
        <v>#N/A N/A</v>
      </c>
    </row>
    <row r="29" spans="1:3" x14ac:dyDescent="0.25">
      <c r="A29" s="1">
        <v>45412</v>
      </c>
      <c r="B29">
        <v>58.9</v>
      </c>
      <c r="C29" t="str">
        <v>#N/A N/A</v>
      </c>
    </row>
    <row r="30" spans="1:3" x14ac:dyDescent="0.25">
      <c r="A30" s="1">
        <v>45382</v>
      </c>
      <c r="B30">
        <v>59.1</v>
      </c>
      <c r="C30" t="str">
        <v>#N/A N/A</v>
      </c>
    </row>
    <row r="31" spans="1:3" x14ac:dyDescent="0.25">
      <c r="A31" s="1">
        <v>45351</v>
      </c>
      <c r="B31">
        <v>56.9</v>
      </c>
      <c r="C31" t="str">
        <v>#N/A N/A</v>
      </c>
    </row>
    <row r="32" spans="1:3" x14ac:dyDescent="0.25">
      <c r="A32" s="1">
        <v>45322</v>
      </c>
      <c r="B32">
        <v>56.5</v>
      </c>
      <c r="C32" t="str">
        <v>#N/A N/A</v>
      </c>
    </row>
    <row r="33" spans="1:3" x14ac:dyDescent="0.25">
      <c r="A33" s="1">
        <v>45291</v>
      </c>
      <c r="B33">
        <v>54.9</v>
      </c>
      <c r="C33" t="str">
        <v>#N/A N/A</v>
      </c>
    </row>
    <row r="34" spans="1:3" x14ac:dyDescent="0.25">
      <c r="A34" s="1">
        <v>45260</v>
      </c>
      <c r="B34">
        <v>56</v>
      </c>
      <c r="C34" t="str">
        <v>#N/A N/A</v>
      </c>
    </row>
    <row r="35" spans="1:3" x14ac:dyDescent="0.25">
      <c r="A35" s="1">
        <v>45230</v>
      </c>
      <c r="B35">
        <v>55.5</v>
      </c>
      <c r="C35" t="str">
        <v>#N/A N/A</v>
      </c>
    </row>
    <row r="36" spans="1:3" x14ac:dyDescent="0.25">
      <c r="A36" s="1">
        <v>45199</v>
      </c>
      <c r="B36">
        <v>57.5</v>
      </c>
      <c r="C36" t="str">
        <v>#N/A N/A</v>
      </c>
    </row>
    <row r="37" spans="1:3" x14ac:dyDescent="0.25">
      <c r="A37" s="1">
        <v>45169</v>
      </c>
      <c r="B37">
        <v>58.6</v>
      </c>
      <c r="C37" t="str">
        <v>#N/A N/A</v>
      </c>
    </row>
    <row r="38" spans="1:3" x14ac:dyDescent="0.25">
      <c r="A38" s="1">
        <v>45138</v>
      </c>
      <c r="B38">
        <v>57.7</v>
      </c>
      <c r="C38" t="str">
        <v>#N/A N/A</v>
      </c>
    </row>
    <row r="39" spans="1:3" x14ac:dyDescent="0.25">
      <c r="A39" s="1">
        <v>45107</v>
      </c>
      <c r="B39">
        <v>57.8</v>
      </c>
      <c r="C39" t="str">
        <v>#N/A N/A</v>
      </c>
    </row>
    <row r="40" spans="1:3" x14ac:dyDescent="0.25">
      <c r="A40" s="1">
        <v>45077</v>
      </c>
      <c r="B40">
        <v>58.7</v>
      </c>
      <c r="C40" t="str">
        <v>#N/A N/A</v>
      </c>
    </row>
    <row r="41" spans="1:3" x14ac:dyDescent="0.25">
      <c r="A41" s="1">
        <v>45046</v>
      </c>
      <c r="B41">
        <v>57.2</v>
      </c>
      <c r="C41" t="str">
        <v>#N/A N/A</v>
      </c>
    </row>
    <row r="42" spans="1:3" x14ac:dyDescent="0.25">
      <c r="A42" s="1">
        <v>45016</v>
      </c>
      <c r="B42">
        <v>56.4</v>
      </c>
      <c r="C42" t="str">
        <v>#N/A N/A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Darshit Sarda</cp:lastModifiedBy>
  <dcterms:created xsi:type="dcterms:W3CDTF">2013-04-03T15:49:21Z</dcterms:created>
  <dcterms:modified xsi:type="dcterms:W3CDTF">2026-03-16T19:55:11Z</dcterms:modified>
</cp:coreProperties>
</file>